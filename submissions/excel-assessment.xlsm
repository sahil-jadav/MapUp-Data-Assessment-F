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hil\OneDrive\Desktop\MapUp-Data-Assessment-F-main\"/>
    </mc:Choice>
  </mc:AlternateContent>
  <xr:revisionPtr revIDLastSave="0" documentId="13_ncr:1_{481E9BEE-C44E-4D28-B9D5-83F87CD2C298}" xr6:coauthVersionLast="36" xr6:coauthVersionMax="47" xr10:uidLastSave="{00000000-0000-0000-0000-000000000000}"/>
  <bookViews>
    <workbookView xWindow="0" yWindow="0" windowWidth="24000" windowHeight="9525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YDATA">Dataset!$A$1:$X$40</definedName>
  </definedNames>
  <calcPr calcId="179021"/>
</workbook>
</file>

<file path=xl/calcChain.xml><?xml version="1.0" encoding="utf-8"?>
<calcChain xmlns="http://schemas.openxmlformats.org/spreadsheetml/2006/main">
  <c r="C22" i="19" l="1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45" i="1"/>
</calcChain>
</file>

<file path=xl/sharedStrings.xml><?xml version="1.0" encoding="utf-8"?>
<sst xmlns="http://schemas.openxmlformats.org/spreadsheetml/2006/main" count="328" uniqueCount="182">
  <si>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</si>
  <si>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</si>
  <si>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</si>
  <si>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</si>
  <si>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</si>
  <si>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</si>
  <si>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</si>
  <si>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</si>
  <si>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</si>
  <si>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</si>
  <si>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</si>
  <si>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</si>
  <si>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</si>
  <si>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</si>
  <si>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</si>
  <si>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</si>
  <si>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</si>
  <si>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</si>
  <si>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</si>
  <si>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</si>
  <si>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</si>
  <si>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</si>
  <si>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</si>
  <si>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</si>
  <si>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</si>
  <si>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</si>
  <si>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</si>
  <si>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</si>
  <si>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</si>
  <si>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</si>
  <si>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</si>
  <si>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</si>
  <si>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</si>
  <si>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</si>
  <si>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</si>
  <si>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</si>
  <si>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</si>
  <si>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</si>
  <si>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</si>
  <si>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</si>
  <si>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</si>
  <si>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</si>
  <si>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</si>
  <si>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</si>
  <si>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</si>
  <si>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</si>
  <si>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</si>
  <si>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</si>
  <si>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</si>
  <si>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</si>
  <si>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</si>
  <si>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</si>
  <si>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</si>
  <si>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</si>
  <si>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</si>
  <si>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</si>
  <si>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</si>
  <si>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</si>
  <si>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</si>
  <si>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</si>
  <si>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</si>
  <si>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</si>
  <si>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</si>
  <si>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</si>
  <si>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</si>
  <si>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</si>
  <si>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</si>
  <si>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</si>
  <si>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</si>
  <si>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</si>
  <si>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</si>
  <si>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</si>
  <si>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</si>
  <si>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</si>
  <si>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</si>
  <si>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</si>
  <si>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</si>
  <si>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</si>
  <si>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</si>
  <si>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</si>
  <si>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</si>
  <si>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</si>
  <si>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</si>
  <si>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</si>
  <si>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</si>
  <si>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</si>
  <si>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</si>
  <si>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</si>
  <si>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</si>
  <si>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</si>
  <si>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</si>
  <si>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</si>
  <si>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</si>
  <si>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</si>
  <si>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</si>
  <si>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</si>
  <si>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</si>
  <si>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</si>
  <si>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</si>
  <si>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</si>
  <si>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</si>
  <si>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</si>
  <si>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</si>
  <si>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</si>
  <si>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</si>
  <si>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</si>
  <si>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</si>
  <si>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</si>
  <si>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</si>
  <si>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</si>
  <si>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</si>
  <si>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</si>
  <si>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</si>
  <si>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</si>
  <si>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</si>
  <si>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</si>
  <si>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</si>
  <si>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</si>
  <si>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</si>
  <si>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</si>
  <si>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</si>
  <si>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</si>
  <si>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</si>
  <si>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</si>
  <si>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</si>
  <si>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</si>
  <si>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</si>
  <si>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</si>
  <si>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</si>
  <si>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</si>
  <si>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</si>
  <si>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</si>
  <si>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</si>
  <si>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</si>
  <si>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</si>
  <si>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</si>
  <si>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</si>
  <si>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</si>
  <si>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</si>
  <si>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</si>
  <si>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</si>
  <si>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</si>
  <si>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</si>
  <si>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</si>
  <si>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</si>
  <si>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</si>
  <si>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</si>
  <si>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</si>
  <si>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</si>
  <si>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</si>
  <si>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</si>
  <si>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</si>
  <si>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</si>
  <si>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</si>
  <si>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</si>
  <si>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</si>
  <si>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</si>
  <si>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</si>
  <si>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</si>
  <si>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</si>
  <si>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</si>
  <si>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</si>
  <si>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</si>
  <si>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</si>
  <si>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</si>
  <si>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</si>
  <si>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</si>
  <si>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</si>
  <si>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</si>
  <si>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</si>
  <si>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</si>
  <si>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</si>
  <si>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</si>
  <si>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</si>
  <si>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</si>
  <si>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</si>
  <si>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=SUMIF(H:H, "&gt;20")'</t>
  </si>
  <si>
    <t>sum of greater than 20 in H column-</t>
  </si>
  <si>
    <t>done</t>
  </si>
  <si>
    <t>Red, Green (done)</t>
  </si>
  <si>
    <t>=SUM(IFERROR(C2:C11, 20))'</t>
  </si>
  <si>
    <r>
      <t xml:space="preserve">formula checks each cell in the range </t>
    </r>
    <r>
      <rPr>
        <sz val="8.75"/>
        <rFont val="Courier New"/>
        <family val="3"/>
      </rPr>
      <t>C12:C21</t>
    </r>
    <r>
      <rPr>
        <sz val="12"/>
        <rFont val="Segoe UI"/>
        <family val="2"/>
      </rPr>
      <t xml:space="preserve"> for errors. If the cell contains an error (such as #N/A), it is replaced with '20'; otherwise, the original value is used and the sum function add all values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</si>
</sst>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name val="Segoe UI"/>
      <family val="2"/>
    </font>
    <font>
      <sz val="8.75"/>
      <name val="Courier New"/>
      <family val="3"/>
    </font>
    <font>
      <sz val="10"/>
      <name val="Calibri"/>
      <family val="2"/>
      <scheme val="minor"/>
    </font>
    <font>
      <sz val="11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0" fontId="3" fillId="0" borderId="0" xfId="0" applyFont="1" applyAlignment="1">
      <alignment wrapText="1"/>
    </xf>
    <xf numFmtId="166" fontId="7" fillId="0" borderId="0" xfId="0" applyNumberFormat="1" applyFont="1"/>
    <xf numFmtId="166" fontId="3" fillId="0" borderId="0" xfId="0" applyNumberFormat="1" applyFont="1"/>
    <xf numFmtId="0" fontId="3" fillId="0" borderId="0" xfId="0" quotePrefix="1" applyFont="1"/>
    <xf numFmtId="0" fontId="18" fillId="0" borderId="0" xfId="0" applyFont="1"/>
    <xf numFmtId="0" fontId="20" fillId="0" borderId="0" xfId="0" applyFont="1"/>
    <xf numFmtId="0" fontId="21" fillId="0" borderId="12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107</v>
      </c>
    </row>
    <row r="2" spans="1:3" x14ac:dyDescent="0.2">
      <c r="A2" s="2" t="s">
        <v>108</v>
      </c>
    </row>
    <row r="3" spans="1:3" x14ac:dyDescent="0.2">
      <c r="A3" s="2" t="s">
        <v>109</v>
      </c>
    </row>
    <row r="4" spans="1:3" ht="15" x14ac:dyDescent="0.25">
      <c r="A4" s="2" t="s">
        <v>110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4" t="s">
        <v>170</v>
      </c>
      <c r="B9" s="25" t="s">
        <v>168</v>
      </c>
    </row>
    <row r="10" spans="1:3" x14ac:dyDescent="0.2">
      <c r="A10" s="33" t="s">
        <v>171</v>
      </c>
      <c r="B10" s="35">
        <v>25</v>
      </c>
    </row>
    <row r="11" spans="1:3" x14ac:dyDescent="0.2">
      <c r="A11" s="33" t="s">
        <v>54</v>
      </c>
      <c r="B11" s="35">
        <v>30</v>
      </c>
    </row>
    <row r="12" spans="1:3" x14ac:dyDescent="0.2">
      <c r="A12" s="33" t="s">
        <v>55</v>
      </c>
      <c r="B12" s="35">
        <v>10</v>
      </c>
    </row>
    <row r="13" spans="1:3" x14ac:dyDescent="0.2">
      <c r="A13" s="33" t="s">
        <v>84</v>
      </c>
      <c r="B13" s="35">
        <v>20</v>
      </c>
    </row>
    <row r="14" spans="1:3" x14ac:dyDescent="0.2">
      <c r="A14" s="33" t="s">
        <v>97</v>
      </c>
      <c r="B14" s="35">
        <v>40</v>
      </c>
    </row>
    <row r="15" spans="1:3" x14ac:dyDescent="0.2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5"/>
  <sheetViews>
    <sheetView topLeftCell="E1" zoomScaleNormal="100" workbookViewId="0">
      <pane ySplit="1" topLeftCell="A2" activePane="bottomLeft" state="frozen"/>
      <selection pane="bottomLeft" activeCell="O6" sqref="O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6" t="s">
        <v>104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5" spans="1:24" ht="28.5" customHeight="1" x14ac:dyDescent="0.25">
      <c r="A45" s="45" t="s">
        <v>177</v>
      </c>
      <c r="B45" s="1">
        <f>SUMIF(H:H, "&gt;20")</f>
        <v>1473.0000000000002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L13">
    <cfRule type="cellIs" priority="3" operator="equal">
      <formula>-1</formula>
    </cfRule>
  </conditionalFormatting>
  <conditionalFormatting sqref="A1:C40 E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0" sqref="C10"/>
    </sheetView>
  </sheetViews>
  <sheetFormatPr defaultColWidth="11" defaultRowHeight="15" x14ac:dyDescent="0.25"/>
  <cols>
    <col min="1" max="1" width="8.33203125" style="1" bestFit="1" customWidth="1"/>
    <col min="2" max="2" width="74.1640625" style="1" customWidth="1"/>
    <col min="3" max="3" width="34.332031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46</v>
      </c>
      <c r="B1" s="4" t="s">
        <v>47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106</v>
      </c>
      <c r="C3" s="2" t="s">
        <v>179</v>
      </c>
      <c r="E3" s="1">
        <v>5</v>
      </c>
    </row>
    <row r="4" spans="1:5" x14ac:dyDescent="0.25">
      <c r="A4" s="6">
        <v>2</v>
      </c>
      <c r="B4" s="2" t="s">
        <v>45</v>
      </c>
      <c r="C4" s="2" t="s">
        <v>178</v>
      </c>
      <c r="E4" s="1">
        <v>5</v>
      </c>
    </row>
    <row r="5" spans="1:5" x14ac:dyDescent="0.25">
      <c r="A5" s="6">
        <v>3</v>
      </c>
      <c r="B5" s="2" t="s">
        <v>103</v>
      </c>
      <c r="C5" s="44" t="s">
        <v>176</v>
      </c>
      <c r="E5" s="1">
        <v>10</v>
      </c>
    </row>
    <row r="6" spans="1:5" x14ac:dyDescent="0.25">
      <c r="A6" s="6">
        <v>4</v>
      </c>
      <c r="B6" s="2" t="s">
        <v>105</v>
      </c>
      <c r="C6" s="2" t="s">
        <v>178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Normal="100" workbookViewId="0">
      <selection activeCell="I24" sqref="I24"/>
    </sheetView>
  </sheetViews>
  <sheetFormatPr defaultColWidth="11" defaultRowHeight="12.75" x14ac:dyDescent="0.2"/>
  <cols>
    <col min="1" max="1" width="22" style="2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54</v>
      </c>
      <c r="B1" s="39" t="s">
        <v>163</v>
      </c>
    </row>
    <row r="2" spans="1:7" s="39" customFormat="1" ht="21" x14ac:dyDescent="0.35">
      <c r="B2" s="39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161</v>
      </c>
      <c r="B4" s="1"/>
      <c r="C4" s="1"/>
      <c r="D4" s="1"/>
      <c r="E4" s="1"/>
      <c r="F4" s="1"/>
      <c r="G4" s="1"/>
    </row>
    <row r="5" spans="1:7" ht="15" x14ac:dyDescent="0.25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5" x14ac:dyDescent="0.25">
      <c r="A6" s="7" t="s">
        <v>40</v>
      </c>
      <c r="B6" s="11">
        <f>IFERROR(VLOOKUP($A6, MYDATA, 7, FALSE), "")</f>
        <v>2.7</v>
      </c>
      <c r="C6" s="11">
        <f>IFERROR(VLOOKUP($A6, MYDATA, 13, FALSE), "")</f>
        <v>5.3</v>
      </c>
      <c r="D6" s="11">
        <f>IFERROR(VLOOKUP($A6, MYDATA, 18, FALSE), "")</f>
        <v>4.2</v>
      </c>
      <c r="E6" s="11">
        <f>IFERROR(VLOOKUP($A6, MYDATA, 20, FALSE), "")</f>
        <v>8.9</v>
      </c>
      <c r="F6" s="11">
        <f>IFERROR(VLOOKUP($A6, MYDATA, 22, FALSE), "")</f>
        <v>4.2</v>
      </c>
    </row>
    <row r="7" spans="1:7" ht="15" x14ac:dyDescent="0.25">
      <c r="A7" s="7" t="s">
        <v>4</v>
      </c>
      <c r="B7" s="11">
        <f>IFERROR(VLOOKUP($A7, MYDATA, 7, FALSE), "")</f>
        <v>2.7</v>
      </c>
      <c r="C7" s="11">
        <f>IFERROR(VLOOKUP($A7, MYDATA, 13, FALSE), "")</f>
        <v>5.3</v>
      </c>
      <c r="D7" s="11">
        <f>IFERROR(VLOOKUP($A7, MYDATA, 18, FALSE), "")</f>
        <v>4.2</v>
      </c>
      <c r="E7" s="11">
        <f>IFERROR(VLOOKUP($A7, MYDATA, 20, FALSE), "")</f>
        <v>8.9</v>
      </c>
      <c r="F7" s="11">
        <f>IFERROR(VLOOKUP($A7, MYDATA, 22, FALSE), "")</f>
        <v>4.2</v>
      </c>
    </row>
    <row r="8" spans="1:7" ht="15" x14ac:dyDescent="0.25">
      <c r="A8" s="7" t="s">
        <v>7</v>
      </c>
      <c r="B8" s="11">
        <f>IFERROR(VLOOKUP($A8, MYDATA, 7, FALSE), "")</f>
        <v>3.6</v>
      </c>
      <c r="C8" s="11">
        <f>IFERROR(VLOOKUP($A8, MYDATA, 13, FALSE), "")</f>
        <v>7.6</v>
      </c>
      <c r="D8" s="11">
        <f>IFERROR(VLOOKUP($A8, MYDATA, 18, FALSE), "")</f>
        <v>5.8</v>
      </c>
      <c r="E8" s="11">
        <f>IFERROR(VLOOKUP($A8, MYDATA, 20, FALSE), "")</f>
        <v>12.2</v>
      </c>
      <c r="F8" s="11">
        <f>IFERROR(VLOOKUP($A8, MYDATA, 22, FALSE), "")</f>
        <v>5.8</v>
      </c>
    </row>
    <row r="9" spans="1:7" ht="15" x14ac:dyDescent="0.25">
      <c r="A9" s="7" t="s">
        <v>8</v>
      </c>
      <c r="B9" s="11">
        <f>IFERROR(VLOOKUP($A9, MYDATA, 7, FALSE), "")</f>
        <v>4.9000000000000004</v>
      </c>
      <c r="C9" s="11">
        <f>IFERROR(VLOOKUP($A9, MYDATA, 13, FALSE), "")</f>
        <v>10</v>
      </c>
      <c r="D9" s="11">
        <f>IFERROR(VLOOKUP($A9, MYDATA, 18, FALSE), "")</f>
        <v>8.1</v>
      </c>
      <c r="E9" s="11">
        <f>IFERROR(VLOOKUP($A9, MYDATA, 20, FALSE), "")</f>
        <v>17</v>
      </c>
      <c r="F9" s="11">
        <f>IFERROR(VLOOKUP($A9, MYDATA, 22, FALSE), "")</f>
        <v>8.1</v>
      </c>
    </row>
    <row r="10" spans="1:7" ht="15" x14ac:dyDescent="0.25">
      <c r="A10" s="7" t="s">
        <v>11</v>
      </c>
      <c r="B10" s="11">
        <f>IFERROR(VLOOKUP($A10, MYDATA, 7, FALSE), "")</f>
        <v>9.4</v>
      </c>
      <c r="C10" s="11">
        <f>IFERROR(VLOOKUP($A10, MYDATA, 13, FALSE), "")</f>
        <v>19.2</v>
      </c>
      <c r="D10" s="11">
        <f>IFERROR(VLOOKUP($A10, MYDATA, 18, FALSE), "")</f>
        <v>16.100000000000001</v>
      </c>
      <c r="E10" s="11">
        <f>IFERROR(VLOOKUP($A10, MYDATA, 20, FALSE), "")</f>
        <v>32.799999999999997</v>
      </c>
      <c r="F10" s="11">
        <f>IFERROR(VLOOKUP($A10, MYDATA, 22, FALSE), "")</f>
        <v>16.100000000000001</v>
      </c>
    </row>
    <row r="11" spans="1:7" ht="15" x14ac:dyDescent="0.25">
      <c r="A11" s="7" t="s">
        <v>12</v>
      </c>
      <c r="B11" s="11">
        <f>IFERROR(VLOOKUP($A11, MYDATA, 7, FALSE), "")</f>
        <v>11.6</v>
      </c>
      <c r="C11" s="11">
        <f>IFERROR(VLOOKUP($A11, MYDATA, 13, FALSE), "")</f>
        <v>23.6</v>
      </c>
      <c r="D11" s="11">
        <f>IFERROR(VLOOKUP($A11, MYDATA, 18, FALSE), "")</f>
        <v>21.3</v>
      </c>
      <c r="E11" s="11">
        <f>IFERROR(VLOOKUP($A11, MYDATA, 20, FALSE), "")</f>
        <v>43</v>
      </c>
      <c r="F11" s="11">
        <f>IFERROR(VLOOKUP($A11, MYDATA, 22, FALSE), "")</f>
        <v>21.3</v>
      </c>
    </row>
    <row r="12" spans="1:7" ht="15" x14ac:dyDescent="0.25">
      <c r="A12" s="7" t="s">
        <v>14</v>
      </c>
      <c r="B12" s="11">
        <f>IFERROR(VLOOKUP($A12, MYDATA, 7, FALSE), "")</f>
        <v>18.399999999999999</v>
      </c>
      <c r="C12" s="11">
        <f>IFERROR(VLOOKUP($A12, MYDATA, 13, FALSE), "")</f>
        <v>37.200000000000003</v>
      </c>
      <c r="D12" s="11">
        <f>IFERROR(VLOOKUP($A12, MYDATA, 18, FALSE), "")</f>
        <v>33.799999999999997</v>
      </c>
      <c r="E12" s="11">
        <f>IFERROR(VLOOKUP($A12, MYDATA, 20, FALSE), "")</f>
        <v>67.900000000000006</v>
      </c>
      <c r="F12" s="11">
        <f>IFERROR(VLOOKUP($A12, MYDATA, 22, FALSE), "")</f>
        <v>33.799999999999997</v>
      </c>
    </row>
    <row r="13" spans="1:7" ht="15" x14ac:dyDescent="0.25">
      <c r="A13" s="7" t="s">
        <v>15</v>
      </c>
      <c r="B13" s="11">
        <f>IFERROR(VLOOKUP($A13, MYDATA, 7, FALSE), "")</f>
        <v>0</v>
      </c>
      <c r="C13" s="11">
        <f>IFERROR(VLOOKUP($A13, MYDATA, 13, FALSE), "")</f>
        <v>0</v>
      </c>
      <c r="D13" s="11">
        <f>IFERROR(VLOOKUP($A13, MYDATA, 18, FALSE), "")</f>
        <v>0</v>
      </c>
      <c r="E13" s="11">
        <f>IFERROR(VLOOKUP($A13, MYDATA, 20, FALSE), "")</f>
        <v>0</v>
      </c>
      <c r="F13" s="11">
        <f>IFERROR(VLOOKUP($A13, MYDATA, 22, FALSE), "")</f>
        <v>0</v>
      </c>
    </row>
    <row r="14" spans="1:7" ht="15" x14ac:dyDescent="0.25">
      <c r="A14" s="7" t="s">
        <v>16</v>
      </c>
      <c r="B14" s="11">
        <f>IFERROR(VLOOKUP($A14, MYDATA, 7, FALSE), "")</f>
        <v>21.9</v>
      </c>
      <c r="C14" s="11">
        <f>IFERROR(VLOOKUP($A14, MYDATA, 13, FALSE), "")</f>
        <v>42.3</v>
      </c>
      <c r="D14" s="11">
        <f>IFERROR(VLOOKUP($A14, MYDATA, 18, FALSE), "")</f>
        <v>40.1</v>
      </c>
      <c r="E14" s="11">
        <f>IFERROR(VLOOKUP($A14, MYDATA, 20, FALSE), "")</f>
        <v>76.599999999999994</v>
      </c>
      <c r="F14" s="11">
        <f>IFERROR(VLOOKUP($A14, MYDATA, 22, FALSE), "")</f>
        <v>40.1</v>
      </c>
    </row>
    <row r="15" spans="1:7" ht="15" x14ac:dyDescent="0.25">
      <c r="A15" s="7" t="s">
        <v>18</v>
      </c>
      <c r="B15" s="11">
        <f>IFERROR(VLOOKUP($A15, MYDATA, 7, FALSE), "")</f>
        <v>26.8</v>
      </c>
      <c r="C15" s="11">
        <f>IFERROR(VLOOKUP($A15, MYDATA, 13, FALSE), "")</f>
        <v>54.6</v>
      </c>
      <c r="D15" s="11">
        <f>IFERROR(VLOOKUP($A15, MYDATA, 18, FALSE), "")</f>
        <v>47.9</v>
      </c>
      <c r="E15" s="11">
        <f>IFERROR(VLOOKUP($A15, MYDATA, 20, FALSE), "")</f>
        <v>96.8</v>
      </c>
      <c r="F15" s="11">
        <f>IFERROR(VLOOKUP($A15, MYDATA, 22, FALSE), "")</f>
        <v>47.9</v>
      </c>
    </row>
    <row r="16" spans="1:7" ht="15" x14ac:dyDescent="0.25">
      <c r="A16" s="7" t="s">
        <v>20</v>
      </c>
      <c r="B16" s="11">
        <f>IFERROR(VLOOKUP($A16, MYDATA, 7, FALSE), "")</f>
        <v>28.5</v>
      </c>
      <c r="C16" s="11">
        <f>IFERROR(VLOOKUP($A16, MYDATA, 13, FALSE), "")</f>
        <v>58.3</v>
      </c>
      <c r="D16" s="11">
        <f>IFERROR(VLOOKUP($A16, MYDATA, 18, FALSE), "")</f>
        <v>52.3</v>
      </c>
      <c r="E16" s="11">
        <f>IFERROR(VLOOKUP($A16, MYDATA, 20, FALSE), "")</f>
        <v>106.1</v>
      </c>
      <c r="F16" s="11">
        <f>IFERROR(VLOOKUP($A16, MYDATA, 22, FALSE), "")</f>
        <v>52.3</v>
      </c>
    </row>
    <row r="17" spans="1:6" ht="15" x14ac:dyDescent="0.25">
      <c r="A17" s="7" t="s">
        <v>22</v>
      </c>
      <c r="B17" s="11">
        <f>IFERROR(VLOOKUP($A17, MYDATA, 7, FALSE), "")</f>
        <v>30.7</v>
      </c>
      <c r="C17" s="11">
        <f>IFERROR(VLOOKUP($A17, MYDATA, 13, FALSE), "")</f>
        <v>62.5</v>
      </c>
      <c r="D17" s="11">
        <f>IFERROR(VLOOKUP($A17, MYDATA, 18, FALSE), "")</f>
        <v>57</v>
      </c>
      <c r="E17" s="11">
        <f>IFERROR(VLOOKUP($A17, MYDATA, 20, FALSE), "")</f>
        <v>115.1</v>
      </c>
      <c r="F17" s="11">
        <f>IFERROR(VLOOKUP($A17, MYDATA, 22, FALSE), "")</f>
        <v>57</v>
      </c>
    </row>
    <row r="18" spans="1:6" ht="15" x14ac:dyDescent="0.25">
      <c r="A18" s="7" t="s">
        <v>23</v>
      </c>
      <c r="B18" s="11">
        <f>IFERROR(VLOOKUP($A18, MYDATA, 7, FALSE), "")</f>
        <v>33.799999999999997</v>
      </c>
      <c r="C18" s="11">
        <f>IFERROR(VLOOKUP($A18, MYDATA, 13, FALSE), "")</f>
        <v>67.900000000000006</v>
      </c>
      <c r="D18" s="11">
        <f>IFERROR(VLOOKUP($A18, MYDATA, 18, FALSE), "")</f>
        <v>61.4</v>
      </c>
      <c r="E18" s="11">
        <f>IFERROR(VLOOKUP($A18, MYDATA, 20, FALSE), "")</f>
        <v>124.4</v>
      </c>
      <c r="F18" s="11">
        <f>IFERROR(VLOOKUP($A18, MYDATA, 22, FALSE), "")</f>
        <v>61.4</v>
      </c>
    </row>
    <row r="19" spans="1:6" ht="15" x14ac:dyDescent="0.25">
      <c r="A19" s="7" t="s">
        <v>24</v>
      </c>
      <c r="B19" s="11">
        <f>IFERROR(VLOOKUP($A19, MYDATA, 7, FALSE), "")</f>
        <v>34.700000000000003</v>
      </c>
      <c r="C19" s="11">
        <f>IFERROR(VLOOKUP($A19, MYDATA, 13, FALSE), "")</f>
        <v>70.8</v>
      </c>
      <c r="D19" s="11">
        <f>IFERROR(VLOOKUP($A19, MYDATA, 18, FALSE), "")</f>
        <v>63.6</v>
      </c>
      <c r="E19" s="11">
        <f>IFERROR(VLOOKUP($A19, MYDATA, 20, FALSE), "")</f>
        <v>128.6</v>
      </c>
      <c r="F19" s="11">
        <f>IFERROR(VLOOKUP($A19, MYDATA, 22, FALSE), "")</f>
        <v>63.6</v>
      </c>
    </row>
    <row r="20" spans="1:6" ht="15" x14ac:dyDescent="0.25">
      <c r="A20" s="7" t="s">
        <v>28</v>
      </c>
      <c r="B20" s="11">
        <f>IFERROR(VLOOKUP($A20, MYDATA, 7, FALSE), "")</f>
        <v>0</v>
      </c>
      <c r="C20" s="11">
        <f>IFERROR(VLOOKUP($A20, MYDATA, 13, FALSE), "")</f>
        <v>0</v>
      </c>
      <c r="D20" s="11">
        <f>IFERROR(VLOOKUP($A20, MYDATA, 18, FALSE), "")</f>
        <v>0</v>
      </c>
      <c r="E20" s="11">
        <f>IFERROR(VLOOKUP($A20, MYDATA, 20, FALSE), "")</f>
        <v>0</v>
      </c>
      <c r="F20" s="11">
        <f>IFERROR(VLOOKUP($A20, MYDATA, 22, FALSE), "")</f>
        <v>0</v>
      </c>
    </row>
    <row r="21" spans="1:6" ht="15" x14ac:dyDescent="0.25">
      <c r="A21" s="7" t="s">
        <v>56</v>
      </c>
      <c r="B21" s="11">
        <f>IFERROR(VLOOKUP($A21, MYDATA, 7, FALSE), "")</f>
        <v>41.3</v>
      </c>
      <c r="C21" s="11">
        <f>IFERROR(VLOOKUP($A21, MYDATA, 13, FALSE), "")</f>
        <v>83.5</v>
      </c>
      <c r="D21" s="11">
        <f>IFERROR(VLOOKUP($A21, MYDATA, 18, FALSE), "")</f>
        <v>75</v>
      </c>
      <c r="E21" s="11">
        <f>IFERROR(VLOOKUP($A21, MYDATA, 20, FALSE), "")</f>
        <v>151.5</v>
      </c>
      <c r="F21" s="11">
        <f>IFERROR(VLOOKUP($A21, MYDATA, 22, FALSE), "")</f>
        <v>75</v>
      </c>
    </row>
    <row r="22" spans="1:6" ht="15" x14ac:dyDescent="0.25">
      <c r="A22" s="7" t="s">
        <v>57</v>
      </c>
      <c r="B22" s="11">
        <f>IFERROR(VLOOKUP($A22, MYDATA, 7, FALSE), "")</f>
        <v>-1</v>
      </c>
      <c r="C22" s="11">
        <f>IFERROR(VLOOKUP($A22, MYDATA, 13, FALSE), "")</f>
        <v>-1</v>
      </c>
      <c r="D22" s="11">
        <f>IFERROR(VLOOKUP($A22, MYDATA, 18, FALSE), "")</f>
        <v>-1</v>
      </c>
      <c r="E22" s="11">
        <f>IFERROR(VLOOKUP($A22, MYDATA, 20, FALSE), "")</f>
        <v>-1</v>
      </c>
      <c r="F22" s="11">
        <f>IFERROR(VLOOKUP($A22, MYDATA, 22, FALSE), "")</f>
        <v>-1</v>
      </c>
    </row>
    <row r="23" spans="1:6" ht="15" x14ac:dyDescent="0.25">
      <c r="A23" s="7" t="s">
        <v>31</v>
      </c>
      <c r="B23" s="11">
        <f>IFERROR(VLOOKUP($A23, MYDATA, 7, FALSE), "")</f>
        <v>45</v>
      </c>
      <c r="C23" s="11">
        <f>IFERROR(VLOOKUP($A23, MYDATA, 13, FALSE), "")</f>
        <v>90.9</v>
      </c>
      <c r="D23" s="11">
        <f>IFERROR(VLOOKUP($A23, MYDATA, 18, FALSE), "")</f>
        <v>79.400000000000006</v>
      </c>
      <c r="E23" s="11">
        <f>IFERROR(VLOOKUP($A23, MYDATA, 20, FALSE), "")</f>
        <v>160.9</v>
      </c>
      <c r="F23" s="11">
        <f>IFERROR(VLOOKUP($A23, MYDATA, 22, FALSE), "")</f>
        <v>79.400000000000006</v>
      </c>
    </row>
    <row r="24" spans="1:6" ht="15" x14ac:dyDescent="0.25">
      <c r="A24" s="7" t="s">
        <v>32</v>
      </c>
      <c r="B24" s="11">
        <f>IFERROR(VLOOKUP($A24, MYDATA, 7, FALSE), "")</f>
        <v>-1</v>
      </c>
      <c r="C24" s="11">
        <f>IFERROR(VLOOKUP($A24, MYDATA, 13, FALSE), "")</f>
        <v>-1</v>
      </c>
      <c r="D24" s="11">
        <f>IFERROR(VLOOKUP($A24, MYDATA, 18, FALSE), "")</f>
        <v>-1</v>
      </c>
      <c r="E24" s="11">
        <f>IFERROR(VLOOKUP($A24, MYDATA, 20, FALSE), "")</f>
        <v>-1</v>
      </c>
      <c r="F24" s="11">
        <f>IFERROR(VLOOKUP($A24, MYDATA, 22, FALSE), "")</f>
        <v>-1</v>
      </c>
    </row>
    <row r="25" spans="1:6" ht="15" x14ac:dyDescent="0.25">
      <c r="A25" s="7" t="s">
        <v>34</v>
      </c>
      <c r="B25" s="11">
        <f>IFERROR(VLOOKUP($A25, MYDATA, 7, FALSE), "")</f>
        <v>43.3</v>
      </c>
      <c r="C25" s="11">
        <f>IFERROR(VLOOKUP($A25, MYDATA, 13, FALSE), "")</f>
        <v>87.6</v>
      </c>
      <c r="D25" s="11">
        <f>IFERROR(VLOOKUP($A25, MYDATA, 18, FALSE), "")</f>
        <v>79.400000000000006</v>
      </c>
      <c r="E25" s="11">
        <f>IFERROR(VLOOKUP($A25, MYDATA, 20, FALSE), "")</f>
        <v>160.9</v>
      </c>
      <c r="F25" s="11">
        <f>IFERROR(VLOOKUP($A25, MYDATA, 22, FALSE), "")</f>
        <v>79.400000000000006</v>
      </c>
    </row>
    <row r="26" spans="1:6" ht="15" x14ac:dyDescent="0.25">
      <c r="A26" s="7" t="s">
        <v>37</v>
      </c>
      <c r="B26" s="11">
        <f>IFERROR(VLOOKUP($A26, MYDATA, 7, FALSE), "")</f>
        <v>49.1</v>
      </c>
      <c r="C26" s="11">
        <f>IFERROR(VLOOKUP($A26, MYDATA, 13, FALSE), "")</f>
        <v>99.5</v>
      </c>
      <c r="D26" s="11">
        <f>IFERROR(VLOOKUP($A26, MYDATA, 18, FALSE), "")</f>
        <v>90.9</v>
      </c>
      <c r="E26" s="11">
        <f>IFERROR(VLOOKUP($A26, MYDATA, 20, FALSE), "")</f>
        <v>183.5</v>
      </c>
      <c r="F26" s="11">
        <f>IFERROR(VLOOKUP($A26, MYDATA, 22, FALSE), "")</f>
        <v>90.9</v>
      </c>
    </row>
    <row r="27" spans="1:6" ht="15" x14ac:dyDescent="0.25">
      <c r="A27" s="7" t="s">
        <v>39</v>
      </c>
      <c r="B27" s="11">
        <f>IFERROR(VLOOKUP($A27, MYDATA, 7, FALSE), "")</f>
        <v>51.8</v>
      </c>
      <c r="C27" s="11">
        <f>IFERROR(VLOOKUP($A27, MYDATA, 13, FALSE), "")</f>
        <v>104.5</v>
      </c>
      <c r="D27" s="11">
        <f>IFERROR(VLOOKUP($A27, MYDATA, 18, FALSE), "")</f>
        <v>93.1</v>
      </c>
      <c r="E27" s="11">
        <f>IFERROR(VLOOKUP($A27, MYDATA, 20, FALSE), "")</f>
        <v>188.1</v>
      </c>
      <c r="F27" s="11">
        <f>IFERROR(VLOOKUP($A27, MYDATA, 22, FALSE), "")</f>
        <v>93.1</v>
      </c>
    </row>
    <row r="28" spans="1:6" ht="15" x14ac:dyDescent="0.25">
      <c r="A28" s="18" t="s">
        <v>81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82</v>
      </c>
      <c r="B29" s="30">
        <f>MAX(B6:B27)</f>
        <v>51.8</v>
      </c>
      <c r="C29" s="30">
        <f t="shared" ref="C29:F29" si="1">MAX(C6:C27)</f>
        <v>104.5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83</v>
      </c>
      <c r="B30" s="30">
        <f>AVERAGE(B6:B27)</f>
        <v>20.827272727272728</v>
      </c>
      <c r="C30" s="30">
        <f t="shared" ref="C30:F30" si="2">AVERAGE(C6:C27)</f>
        <v>42.209090909090904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16" sqref="B1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55</v>
      </c>
      <c r="B1" s="39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1" t="s">
        <v>52</v>
      </c>
      <c r="B5" s="38"/>
    </row>
    <row r="6" spans="1:10" ht="18.75" x14ac:dyDescent="0.3">
      <c r="A6" s="41" t="s">
        <v>152</v>
      </c>
      <c r="B6" s="38"/>
    </row>
    <row r="7" spans="1:10" ht="18.75" x14ac:dyDescent="0.3">
      <c r="A7" s="41"/>
      <c r="B7" s="38"/>
    </row>
    <row r="9" spans="1:10" ht="23.25" x14ac:dyDescent="0.35">
      <c r="A9" s="17" t="s">
        <v>164</v>
      </c>
      <c r="I9" s="2"/>
      <c r="J9" s="2"/>
    </row>
    <row r="10" spans="1:10" x14ac:dyDescent="0.25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2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161</v>
      </c>
    </row>
    <row r="15" spans="1:10" x14ac:dyDescent="0.25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25">
      <c r="A16" s="7" t="s">
        <v>120</v>
      </c>
      <c r="B16" s="11"/>
      <c r="D16" s="11"/>
      <c r="F16" s="11"/>
    </row>
    <row r="17" spans="1:6" x14ac:dyDescent="0.25">
      <c r="A17" s="7" t="s">
        <v>121</v>
      </c>
      <c r="B17" s="11"/>
      <c r="D17" s="11"/>
      <c r="F17" s="11"/>
    </row>
    <row r="18" spans="1:6" x14ac:dyDescent="0.25">
      <c r="A18" s="7" t="s">
        <v>122</v>
      </c>
      <c r="B18" s="11"/>
      <c r="D18" s="11"/>
      <c r="F18" s="11"/>
    </row>
    <row r="19" spans="1:6" x14ac:dyDescent="0.25">
      <c r="A19" s="7" t="s">
        <v>123</v>
      </c>
      <c r="B19" s="11"/>
      <c r="D19" s="11"/>
      <c r="F19" s="11"/>
    </row>
    <row r="20" spans="1:6" x14ac:dyDescent="0.25">
      <c r="A20" s="7" t="s">
        <v>124</v>
      </c>
      <c r="B20" s="11"/>
      <c r="D20" s="11"/>
      <c r="F20" s="11"/>
    </row>
    <row r="21" spans="1:6" x14ac:dyDescent="0.25">
      <c r="A21" s="7" t="s">
        <v>125</v>
      </c>
      <c r="B21" s="11"/>
      <c r="D21" s="11"/>
      <c r="F21" s="11"/>
    </row>
    <row r="22" spans="1:6" x14ac:dyDescent="0.25">
      <c r="A22" s="7" t="s">
        <v>126</v>
      </c>
      <c r="B22" s="11"/>
      <c r="D22" s="11"/>
      <c r="F22" s="11"/>
    </row>
    <row r="23" spans="1:6" x14ac:dyDescent="0.25">
      <c r="A23" s="7" t="s">
        <v>127</v>
      </c>
      <c r="B23" s="11"/>
      <c r="D23" s="11"/>
      <c r="F23" s="11"/>
    </row>
    <row r="24" spans="1:6" x14ac:dyDescent="0.25">
      <c r="A24" s="7" t="s">
        <v>128</v>
      </c>
      <c r="B24" s="11"/>
      <c r="D24" s="11"/>
      <c r="F24" s="11"/>
    </row>
    <row r="25" spans="1:6" x14ac:dyDescent="0.25">
      <c r="A25" s="7" t="s">
        <v>129</v>
      </c>
      <c r="B25" s="11"/>
      <c r="D25" s="11"/>
      <c r="F25" s="11"/>
    </row>
    <row r="26" spans="1:6" x14ac:dyDescent="0.25">
      <c r="A26" s="7" t="s">
        <v>130</v>
      </c>
      <c r="B26" s="11"/>
      <c r="D26" s="11"/>
      <c r="F26" s="11"/>
    </row>
    <row r="27" spans="1:6" x14ac:dyDescent="0.25">
      <c r="A27" s="7" t="s">
        <v>131</v>
      </c>
      <c r="B27" s="11"/>
      <c r="D27" s="11"/>
      <c r="F27" s="11"/>
    </row>
    <row r="28" spans="1:6" x14ac:dyDescent="0.25">
      <c r="A28" s="7" t="s">
        <v>132</v>
      </c>
      <c r="B28" s="11"/>
      <c r="D28" s="11"/>
      <c r="F28" s="11"/>
    </row>
    <row r="29" spans="1:6" x14ac:dyDescent="0.25">
      <c r="A29" s="7" t="s">
        <v>133</v>
      </c>
      <c r="B29" s="11"/>
      <c r="D29" s="11"/>
      <c r="F29" s="11"/>
    </row>
    <row r="30" spans="1:6" x14ac:dyDescent="0.25">
      <c r="A30" s="7" t="s">
        <v>134</v>
      </c>
      <c r="B30" s="11"/>
      <c r="D30" s="11"/>
      <c r="F30" s="11"/>
    </row>
    <row r="31" spans="1:6" x14ac:dyDescent="0.25">
      <c r="A31" s="7" t="s">
        <v>135</v>
      </c>
      <c r="B31" s="11"/>
      <c r="D31" s="11"/>
      <c r="F31" s="11"/>
    </row>
    <row r="32" spans="1:6" x14ac:dyDescent="0.25">
      <c r="A32" s="7" t="s">
        <v>136</v>
      </c>
      <c r="B32" s="11"/>
      <c r="D32" s="11"/>
      <c r="F32" s="11"/>
    </row>
    <row r="33" spans="1:6" x14ac:dyDescent="0.25">
      <c r="A33" s="7" t="s">
        <v>137</v>
      </c>
      <c r="B33" s="11"/>
      <c r="D33" s="11"/>
      <c r="F33" s="11"/>
    </row>
    <row r="34" spans="1:6" x14ac:dyDescent="0.25">
      <c r="A34" s="7" t="s">
        <v>138</v>
      </c>
      <c r="B34" s="11"/>
      <c r="D34" s="11"/>
      <c r="F34" s="11"/>
    </row>
    <row r="35" spans="1:6" x14ac:dyDescent="0.25">
      <c r="A35" s="7" t="s">
        <v>139</v>
      </c>
      <c r="B35" s="11"/>
      <c r="D35" s="11"/>
      <c r="F35" s="11"/>
    </row>
    <row r="36" spans="1:6" x14ac:dyDescent="0.25">
      <c r="A36" s="7" t="s">
        <v>140</v>
      </c>
      <c r="B36" s="11"/>
      <c r="D36" s="11"/>
      <c r="F36" s="11"/>
    </row>
    <row r="37" spans="1:6" x14ac:dyDescent="0.25">
      <c r="A37" s="7" t="s">
        <v>141</v>
      </c>
      <c r="B37" s="11"/>
      <c r="D37" s="11"/>
      <c r="F37" s="11"/>
    </row>
    <row r="38" spans="1:6" x14ac:dyDescent="0.25">
      <c r="A38" s="7" t="s">
        <v>142</v>
      </c>
      <c r="B38" s="11"/>
      <c r="D38" s="11"/>
      <c r="F38" s="11"/>
    </row>
    <row r="39" spans="1:6" x14ac:dyDescent="0.25">
      <c r="A39" s="7" t="s">
        <v>143</v>
      </c>
      <c r="B39" s="11"/>
      <c r="D39" s="11"/>
      <c r="F39" s="11"/>
    </row>
    <row r="40" spans="1:6" x14ac:dyDescent="0.25">
      <c r="A40" s="7" t="s">
        <v>144</v>
      </c>
      <c r="B40" s="11"/>
      <c r="D40" s="11"/>
      <c r="F40" s="11"/>
    </row>
    <row r="41" spans="1:6" x14ac:dyDescent="0.25">
      <c r="A41" s="7" t="s">
        <v>145</v>
      </c>
      <c r="B41" s="11"/>
      <c r="D41" s="11"/>
      <c r="F41" s="11"/>
    </row>
    <row r="42" spans="1:6" x14ac:dyDescent="0.25">
      <c r="A42" s="7" t="s">
        <v>146</v>
      </c>
      <c r="B42" s="11"/>
      <c r="D42" s="11"/>
      <c r="F42" s="11"/>
    </row>
    <row r="43" spans="1:6" x14ac:dyDescent="0.25">
      <c r="A43" s="7" t="s">
        <v>147</v>
      </c>
      <c r="B43" s="11"/>
      <c r="D43" s="11"/>
      <c r="F43" s="11"/>
    </row>
    <row r="44" spans="1:6" x14ac:dyDescent="0.25">
      <c r="A44" s="7" t="s">
        <v>148</v>
      </c>
      <c r="B44" s="11"/>
      <c r="D44" s="11"/>
      <c r="F44" s="11"/>
    </row>
    <row r="45" spans="1:6" x14ac:dyDescent="0.25">
      <c r="A45" s="7" t="s">
        <v>149</v>
      </c>
      <c r="B45" s="11"/>
      <c r="D45" s="11"/>
      <c r="F45" s="11"/>
    </row>
    <row r="46" spans="1:6" x14ac:dyDescent="0.25">
      <c r="A46" s="7" t="s">
        <v>111</v>
      </c>
      <c r="B46" s="11"/>
      <c r="D46" s="11"/>
      <c r="F46" s="11"/>
    </row>
    <row r="47" spans="1:6" x14ac:dyDescent="0.25">
      <c r="A47" s="7" t="s">
        <v>112</v>
      </c>
      <c r="B47" s="11"/>
      <c r="D47" s="11"/>
      <c r="F47" s="11"/>
    </row>
    <row r="48" spans="1:6" x14ac:dyDescent="0.25">
      <c r="A48" s="7" t="s">
        <v>113</v>
      </c>
      <c r="B48" s="11"/>
      <c r="D48" s="11"/>
      <c r="F48" s="11"/>
    </row>
    <row r="49" spans="1:6" x14ac:dyDescent="0.25">
      <c r="A49" s="7" t="s">
        <v>114</v>
      </c>
      <c r="B49" s="11"/>
      <c r="D49" s="11"/>
      <c r="F49" s="11"/>
    </row>
    <row r="50" spans="1:6" x14ac:dyDescent="0.25">
      <c r="A50" s="7" t="s">
        <v>115</v>
      </c>
      <c r="B50" s="11"/>
      <c r="D50" s="11"/>
      <c r="F50" s="11"/>
    </row>
    <row r="51" spans="1:6" x14ac:dyDescent="0.25">
      <c r="A51" s="7" t="s">
        <v>116</v>
      </c>
      <c r="B51" s="11"/>
      <c r="D51" s="11"/>
      <c r="F51" s="11"/>
    </row>
    <row r="52" spans="1:6" x14ac:dyDescent="0.25">
      <c r="A52" s="7" t="s">
        <v>117</v>
      </c>
      <c r="B52" s="11"/>
      <c r="D52" s="11"/>
      <c r="F52" s="11"/>
    </row>
    <row r="53" spans="1:6" x14ac:dyDescent="0.25">
      <c r="A53" s="7" t="s">
        <v>118</v>
      </c>
      <c r="B53" s="11"/>
      <c r="D53" s="11"/>
      <c r="F53" s="11"/>
    </row>
    <row r="54" spans="1:6" x14ac:dyDescent="0.25">
      <c r="A54" s="8" t="s">
        <v>119</v>
      </c>
      <c r="B54" s="12"/>
      <c r="C54" s="9"/>
      <c r="D54" s="12"/>
      <c r="E54" s="9"/>
      <c r="F54" s="12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P22"/>
  <sheetViews>
    <sheetView zoomScaleNormal="100" workbookViewId="0">
      <selection activeCell="F24" sqref="F24"/>
    </sheetView>
  </sheetViews>
  <sheetFormatPr defaultColWidth="11" defaultRowHeight="12.75" x14ac:dyDescent="0.2"/>
  <cols>
    <col min="1" max="1" width="31.83203125" style="2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6" ht="21" x14ac:dyDescent="0.35">
      <c r="A1" s="40" t="s">
        <v>84</v>
      </c>
      <c r="B1" s="39" t="s">
        <v>166</v>
      </c>
    </row>
    <row r="2" spans="1:16" ht="18.75" x14ac:dyDescent="0.3">
      <c r="B2" s="38" t="s">
        <v>165</v>
      </c>
    </row>
    <row r="5" spans="1:16" ht="15" x14ac:dyDescent="0.25">
      <c r="B5" s="1" t="s">
        <v>150</v>
      </c>
    </row>
    <row r="6" spans="1:16" ht="15" x14ac:dyDescent="0.25">
      <c r="A6" s="3" t="s">
        <v>52</v>
      </c>
      <c r="B6" s="48" t="s">
        <v>180</v>
      </c>
    </row>
    <row r="7" spans="1:16" ht="17.25" x14ac:dyDescent="0.3">
      <c r="A7" s="3" t="s">
        <v>152</v>
      </c>
      <c r="B7" s="49" t="s">
        <v>181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</row>
    <row r="10" spans="1:16" ht="23.25" x14ac:dyDescent="0.35">
      <c r="A10" s="17" t="s">
        <v>161</v>
      </c>
    </row>
    <row r="11" spans="1:16" ht="15" x14ac:dyDescent="0.25">
      <c r="A11" s="31" t="s">
        <v>85</v>
      </c>
      <c r="B11" s="16" t="s">
        <v>86</v>
      </c>
      <c r="C11" s="16" t="s">
        <v>87</v>
      </c>
    </row>
    <row r="12" spans="1:16" ht="15" x14ac:dyDescent="0.25">
      <c r="A12" s="31">
        <v>44927</v>
      </c>
      <c r="B12" s="16" t="s">
        <v>58</v>
      </c>
      <c r="C12" s="16">
        <v>200</v>
      </c>
    </row>
    <row r="13" spans="1:16" ht="15" x14ac:dyDescent="0.25">
      <c r="A13" s="31">
        <v>44928</v>
      </c>
      <c r="B13" s="16" t="s">
        <v>59</v>
      </c>
      <c r="C13" s="16" t="e">
        <v>#N/A</v>
      </c>
    </row>
    <row r="14" spans="1:16" ht="15" x14ac:dyDescent="0.25">
      <c r="A14" s="31">
        <v>44929</v>
      </c>
      <c r="B14" s="16" t="s">
        <v>60</v>
      </c>
      <c r="C14" s="16">
        <v>50</v>
      </c>
    </row>
    <row r="15" spans="1:16" ht="15" x14ac:dyDescent="0.25">
      <c r="A15" s="31">
        <v>44930</v>
      </c>
      <c r="B15" s="16" t="s">
        <v>61</v>
      </c>
      <c r="C15" s="16" t="e">
        <v>#N/A</v>
      </c>
    </row>
    <row r="16" spans="1:16" ht="15" x14ac:dyDescent="0.25">
      <c r="A16" s="31">
        <v>44931</v>
      </c>
      <c r="B16" s="16" t="s">
        <v>62</v>
      </c>
      <c r="C16" s="16">
        <v>10</v>
      </c>
    </row>
    <row r="17" spans="1:3" ht="15" x14ac:dyDescent="0.25">
      <c r="A17" s="31">
        <v>44932</v>
      </c>
      <c r="B17" s="16" t="s">
        <v>153</v>
      </c>
      <c r="C17" s="16">
        <v>150</v>
      </c>
    </row>
    <row r="18" spans="1:3" ht="15" x14ac:dyDescent="0.25">
      <c r="A18" s="31">
        <v>44933</v>
      </c>
      <c r="B18" s="16" t="s">
        <v>154</v>
      </c>
      <c r="C18" s="16">
        <v>80</v>
      </c>
    </row>
    <row r="19" spans="1:3" ht="15" x14ac:dyDescent="0.25">
      <c r="A19" s="31">
        <v>44934</v>
      </c>
      <c r="B19" s="16" t="s">
        <v>155</v>
      </c>
      <c r="C19" s="16" t="e">
        <v>#N/A</v>
      </c>
    </row>
    <row r="20" spans="1:3" ht="15" x14ac:dyDescent="0.25">
      <c r="A20" s="31">
        <v>44935</v>
      </c>
      <c r="B20" s="16" t="s">
        <v>156</v>
      </c>
      <c r="C20" s="16">
        <v>30</v>
      </c>
    </row>
    <row r="21" spans="1:3" ht="15" x14ac:dyDescent="0.25">
      <c r="A21" s="31">
        <v>44936</v>
      </c>
      <c r="B21" s="16" t="s">
        <v>157</v>
      </c>
      <c r="C21" s="16" t="e">
        <v>#N/A</v>
      </c>
    </row>
    <row r="22" spans="1:3" ht="15" x14ac:dyDescent="0.25">
      <c r="B22" s="16" t="s">
        <v>158</v>
      </c>
      <c r="C22" s="24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7" zoomScaleNormal="100" workbookViewId="0">
      <selection activeCell="E23" sqref="E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97</v>
      </c>
      <c r="B1" s="39" t="s">
        <v>174</v>
      </c>
    </row>
    <row r="3" spans="1:14" ht="15" x14ac:dyDescent="0.25">
      <c r="B3" s="1" t="s">
        <v>150</v>
      </c>
    </row>
    <row r="4" spans="1:14" ht="18.75" x14ac:dyDescent="0.3">
      <c r="A4" s="41" t="s">
        <v>52</v>
      </c>
      <c r="B4" s="1"/>
    </row>
    <row r="5" spans="1:14" ht="18.75" x14ac:dyDescent="0.3">
      <c r="A5" s="41" t="s">
        <v>152</v>
      </c>
      <c r="B5" s="1"/>
    </row>
    <row r="6" spans="1:14" ht="15" x14ac:dyDescent="0.25">
      <c r="A6" s="3"/>
      <c r="B6" s="1"/>
    </row>
    <row r="8" spans="1:14" ht="23.25" x14ac:dyDescent="0.35">
      <c r="A8" s="17" t="s">
        <v>161</v>
      </c>
      <c r="M8" s="17" t="s">
        <v>162</v>
      </c>
    </row>
    <row r="9" spans="1:14" ht="15" x14ac:dyDescent="0.25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5" x14ac:dyDescent="0.25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5" x14ac:dyDescent="0.25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5" x14ac:dyDescent="0.25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5" x14ac:dyDescent="0.25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5" x14ac:dyDescent="0.25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5" x14ac:dyDescent="0.25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5" x14ac:dyDescent="0.25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5" x14ac:dyDescent="0.25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5" x14ac:dyDescent="0.25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25" x14ac:dyDescent="0.35">
      <c r="A21" s="17" t="s">
        <v>167</v>
      </c>
    </row>
    <row r="22" spans="1:14" ht="15" x14ac:dyDescent="0.25">
      <c r="A22" s="13" t="s">
        <v>99</v>
      </c>
      <c r="B22" s="16" t="s">
        <v>100</v>
      </c>
      <c r="C22" s="15" t="s">
        <v>101</v>
      </c>
    </row>
    <row r="23" spans="1:14" ht="15" x14ac:dyDescent="0.25">
      <c r="A23" s="7">
        <v>10100</v>
      </c>
      <c r="B23" s="11">
        <v>10102</v>
      </c>
      <c r="C23" s="51"/>
    </row>
    <row r="24" spans="1:14" ht="15" x14ac:dyDescent="0.25">
      <c r="A24" s="7">
        <v>10100</v>
      </c>
      <c r="B24" s="11">
        <v>10104</v>
      </c>
      <c r="C24" s="42"/>
    </row>
    <row r="25" spans="1:14" ht="15" x14ac:dyDescent="0.25">
      <c r="A25" s="7">
        <v>10108</v>
      </c>
      <c r="B25" s="11">
        <v>10102</v>
      </c>
      <c r="C25" s="42"/>
    </row>
    <row r="26" spans="1:14" ht="15" x14ac:dyDescent="0.25">
      <c r="A26" s="7">
        <v>10100</v>
      </c>
      <c r="B26" s="11">
        <v>10106</v>
      </c>
      <c r="C26" s="42"/>
    </row>
    <row r="27" spans="1:14" ht="15" x14ac:dyDescent="0.25">
      <c r="A27" s="7">
        <v>10108</v>
      </c>
      <c r="B27" s="11">
        <v>10110</v>
      </c>
      <c r="C27" s="42"/>
    </row>
    <row r="28" spans="1:14" ht="15" x14ac:dyDescent="0.25">
      <c r="A28" s="7">
        <v>10102</v>
      </c>
      <c r="B28" s="11">
        <v>10104</v>
      </c>
      <c r="C28" s="42"/>
    </row>
    <row r="29" spans="1:14" ht="15" x14ac:dyDescent="0.25">
      <c r="A29" s="7">
        <v>10106</v>
      </c>
      <c r="B29" s="11">
        <v>10108</v>
      </c>
      <c r="C29" s="42"/>
    </row>
    <row r="30" spans="1:14" ht="15" x14ac:dyDescent="0.25">
      <c r="A30" s="7">
        <v>10102</v>
      </c>
      <c r="B30" s="11">
        <v>10106</v>
      </c>
      <c r="C30" s="42"/>
    </row>
    <row r="31" spans="1:14" ht="15" x14ac:dyDescent="0.25">
      <c r="A31" s="7">
        <v>10110</v>
      </c>
      <c r="B31" s="11">
        <v>10114</v>
      </c>
      <c r="C31" s="42"/>
    </row>
    <row r="32" spans="1:14" ht="15" x14ac:dyDescent="0.25">
      <c r="A32" s="7">
        <v>10104</v>
      </c>
      <c r="B32" s="11">
        <v>10106</v>
      </c>
      <c r="C32" s="42"/>
    </row>
    <row r="33" spans="1:3" ht="15" x14ac:dyDescent="0.25">
      <c r="A33" s="7">
        <v>10110</v>
      </c>
      <c r="B33" s="11">
        <v>10112</v>
      </c>
      <c r="C33" s="42"/>
    </row>
    <row r="34" spans="1:3" ht="15" x14ac:dyDescent="0.25">
      <c r="A34" s="7">
        <v>10100</v>
      </c>
      <c r="B34" s="11">
        <v>10114</v>
      </c>
      <c r="C34" s="42"/>
    </row>
    <row r="35" spans="1:3" ht="15" x14ac:dyDescent="0.25">
      <c r="A35" s="8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MYDATA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Sahil Jadav</cp:lastModifiedBy>
  <dcterms:created xsi:type="dcterms:W3CDTF">2015-02-10T17:33:11Z</dcterms:created>
  <dcterms:modified xsi:type="dcterms:W3CDTF">2023-12-11T16:21:41Z</dcterms:modified>
</cp:coreProperties>
</file>